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8_{AB9C4159-9F37-4045-84DB-BD616F9FA3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a de Livros" sheetId="1" r:id="rId1"/>
  </sheets>
  <definedNames>
    <definedName name="solver_adj" localSheetId="0" hidden="1">'Venda de Livros'!$D$3:$D$4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'Venda de Livros'!$D$10</definedName>
    <definedName name="solver_lhs2" localSheetId="0" hidden="1">'Venda de Livros'!$D$12</definedName>
    <definedName name="solver_lhs3" localSheetId="0" hidden="1">'Venda de Livros'!$D$3</definedName>
    <definedName name="solver_lhs4" localSheetId="0" hidden="1">'Venda de Livros'!$D$4</definedName>
    <definedName name="solver_lhs5" localSheetId="0" hidden="1">'Venda de Livros'!$D$4</definedName>
    <definedName name="solver_lhs6" localSheetId="0" hidden="1">'Venda de Livros'!$D$4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'Venda de Livros'!$D$7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4</definedName>
    <definedName name="solver_rel4" localSheetId="0" hidden="1">1</definedName>
    <definedName name="solver_rel5" localSheetId="0" hidden="1">4</definedName>
    <definedName name="solver_rel6" localSheetId="0" hidden="1">3</definedName>
    <definedName name="solver_rhs1" localSheetId="0" hidden="1">'Venda de Livros'!$E$10</definedName>
    <definedName name="solver_rhs2" localSheetId="0" hidden="1">'Venda de Livros'!$E$12</definedName>
    <definedName name="solver_rhs3" localSheetId="0" hidden="1">"número inteiro"</definedName>
    <definedName name="solver_rhs4" localSheetId="0" hidden="1">'Venda de Livros'!$D$11</definedName>
    <definedName name="solver_rhs5" localSheetId="0" hidden="1">"número inteiro"</definedName>
    <definedName name="solver_rhs6" localSheetId="0" hidden="1">'Venda de Livros'!$D$13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2" i="1"/>
  <c r="D7" i="1"/>
</calcChain>
</file>

<file path=xl/sharedStrings.xml><?xml version="1.0" encoding="utf-8"?>
<sst xmlns="http://schemas.openxmlformats.org/spreadsheetml/2006/main" count="22" uniqueCount="22">
  <si>
    <t>Variáveis de decisão</t>
  </si>
  <si>
    <t>Função Objetivo</t>
  </si>
  <si>
    <t>Restrições</t>
  </si>
  <si>
    <t>Quantidade de Caixas Leves</t>
  </si>
  <si>
    <t>Quantidade de Caixas Mistas</t>
  </si>
  <si>
    <t>Q = 6L + 7M</t>
  </si>
  <si>
    <t>M inteira</t>
  </si>
  <si>
    <t>L inteira</t>
  </si>
  <si>
    <t>Restrição de Total de Caixas</t>
  </si>
  <si>
    <t>Restrição de Caixas Mistas</t>
  </si>
  <si>
    <t>Restrição de Livros de Capa Mole</t>
  </si>
  <si>
    <t>Restrição de Livros de Capa Dura</t>
  </si>
  <si>
    <t>L + M ≤</t>
  </si>
  <si>
    <t>M ≤</t>
  </si>
  <si>
    <r>
      <t xml:space="preserve">M </t>
    </r>
    <r>
      <rPr>
        <sz val="11"/>
        <color theme="1"/>
        <rFont val="Aptos Narrow"/>
        <family val="2"/>
      </rPr>
      <t>≥</t>
    </r>
  </si>
  <si>
    <t>6L + 2M ≥</t>
  </si>
  <si>
    <t>L =</t>
  </si>
  <si>
    <t>M =</t>
  </si>
  <si>
    <t>Restrição de Domínio das Variáveis</t>
  </si>
  <si>
    <t>Célula variável</t>
  </si>
  <si>
    <t>Célula com equação</t>
  </si>
  <si>
    <t>Célula com dados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</si>
</sst>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"/>
  <sheetViews>
    <sheetView showGridLines="0" tabSelected="1" workbookViewId="0">
      <selection activeCell="N12" sqref="N12"/>
    </sheetView>
  </sheetViews>
  <sheetFormatPr defaultRowHeight="14.4" x14ac:dyDescent="0.3"/>
  <cols>
    <col min="2" max="2" width="51" bestFit="1" customWidth="1"/>
    <col min="3" max="3" width="13.6640625" bestFit="1" customWidth="1"/>
  </cols>
  <sheetData>
    <row r="1" spans="2:10" ht="15" thickBot="1" x14ac:dyDescent="0.35"/>
    <row r="2" spans="2:10" ht="15" thickBot="1" x14ac:dyDescent="0.35">
      <c r="B2" s="23" t="s">
        <v>0</v>
      </c>
      <c r="C2" s="24"/>
      <c r="D2" s="25"/>
      <c r="H2" s="28" t="s">
        <v>19</v>
      </c>
      <c r="I2" s="28"/>
      <c r="J2" s="28"/>
    </row>
    <row r="3" spans="2:10" x14ac:dyDescent="0.3">
      <c r="B3" s="4" t="s">
        <v>3</v>
      </c>
      <c r="C3" s="2" t="s">
        <v>16</v>
      </c>
      <c r="D3" s="12">
        <v>5</v>
      </c>
      <c r="H3" s="29" t="s">
        <v>20</v>
      </c>
      <c r="I3" s="29"/>
      <c r="J3" s="29"/>
    </row>
    <row r="4" spans="2:10" ht="15" thickBot="1" x14ac:dyDescent="0.35">
      <c r="B4" s="5" t="s">
        <v>4</v>
      </c>
      <c r="C4" s="3" t="s">
        <v>17</v>
      </c>
      <c r="D4" s="13">
        <v>5</v>
      </c>
      <c r="H4" s="30" t="s">
        <v>21</v>
      </c>
      <c r="I4" s="30"/>
      <c r="J4" s="30"/>
    </row>
    <row r="5" spans="2:10" ht="15" thickBot="1" x14ac:dyDescent="0.35"/>
    <row r="6" spans="2:10" ht="15" thickBot="1" x14ac:dyDescent="0.35">
      <c r="B6" s="23" t="s">
        <v>1</v>
      </c>
      <c r="C6" s="24"/>
      <c r="D6" s="25"/>
    </row>
    <row r="7" spans="2:10" ht="15" thickBot="1" x14ac:dyDescent="0.35">
      <c r="B7" s="23" t="s">
        <v>5</v>
      </c>
      <c r="C7" s="24"/>
      <c r="D7" s="19">
        <f>6*D3+7*D4</f>
        <v>65</v>
      </c>
    </row>
    <row r="8" spans="2:10" ht="15" thickBot="1" x14ac:dyDescent="0.35">
      <c r="B8" s="1"/>
      <c r="C8" s="1"/>
    </row>
    <row r="9" spans="2:10" ht="15" thickBot="1" x14ac:dyDescent="0.35">
      <c r="B9" s="7" t="s">
        <v>2</v>
      </c>
      <c r="C9" s="8"/>
      <c r="D9" s="8"/>
      <c r="E9" s="9"/>
    </row>
    <row r="10" spans="2:10" x14ac:dyDescent="0.3">
      <c r="B10" s="10" t="s">
        <v>8</v>
      </c>
      <c r="C10" s="2" t="s">
        <v>12</v>
      </c>
      <c r="D10" s="20">
        <f>D3+D4</f>
        <v>10</v>
      </c>
      <c r="E10" s="21">
        <v>10</v>
      </c>
    </row>
    <row r="11" spans="2:10" x14ac:dyDescent="0.3">
      <c r="B11" s="6" t="s">
        <v>9</v>
      </c>
      <c r="C11" s="11" t="s">
        <v>13</v>
      </c>
      <c r="D11" s="18">
        <v>7</v>
      </c>
      <c r="E11" s="14"/>
    </row>
    <row r="12" spans="2:10" x14ac:dyDescent="0.3">
      <c r="B12" s="6" t="s">
        <v>10</v>
      </c>
      <c r="C12" s="11" t="s">
        <v>15</v>
      </c>
      <c r="D12" s="17">
        <f>6*D3+2*D4</f>
        <v>40</v>
      </c>
      <c r="E12" s="22">
        <v>40</v>
      </c>
    </row>
    <row r="13" spans="2:10" x14ac:dyDescent="0.3">
      <c r="B13" s="6" t="s">
        <v>11</v>
      </c>
      <c r="C13" s="11" t="s">
        <v>14</v>
      </c>
      <c r="D13" s="18">
        <v>3</v>
      </c>
      <c r="E13" s="14"/>
    </row>
    <row r="14" spans="2:10" x14ac:dyDescent="0.3">
      <c r="B14" s="26" t="s">
        <v>18</v>
      </c>
      <c r="C14" s="11" t="s">
        <v>7</v>
      </c>
      <c r="D14" s="1"/>
      <c r="E14" s="14"/>
    </row>
    <row r="15" spans="2:10" ht="15" thickBot="1" x14ac:dyDescent="0.35">
      <c r="B15" s="27"/>
      <c r="C15" s="3" t="s">
        <v>6</v>
      </c>
      <c r="D15" s="15"/>
      <c r="E15" s="16"/>
    </row>
  </sheetData>
  <mergeCells count="7">
    <mergeCell ref="B2:D2"/>
    <mergeCell ref="B7:C7"/>
    <mergeCell ref="B6:D6"/>
    <mergeCell ref="B14:B15"/>
    <mergeCell ref="H2:J2"/>
    <mergeCell ref="H3:J3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 de Livros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2025-05-20T13:40:22Z</dcterms:modified>
</cp:coreProperties>
</file>