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0_DATABASE\3_Extensão\2025\5_Curso PECEGE\3_Aula 3 - Programação Inteira\"/>
    </mc:Choice>
  </mc:AlternateContent>
  <xr:revisionPtr revIDLastSave="0" documentId="13_ncr:1_{EA33EB34-193C-4310-84A5-24E97AA681FB}" xr6:coauthVersionLast="47" xr6:coauthVersionMax="47" xr10:uidLastSave="{00000000-0000-0000-0000-000000000000}"/>
  <bookViews>
    <workbookView xWindow="32280" yWindow="2475" windowWidth="23250" windowHeight="12390" xr2:uid="{00000000-000D-0000-FFFF-FFFF00000000}"/>
  </bookViews>
  <sheets>
    <sheet name="Nova Ala Hospitalar" sheetId="1" r:id="rId1"/>
  </sheets>
  <definedNames>
    <definedName name="solver_adj" localSheetId="0" hidden="1">'Nova Ala Hospitalar'!$D$3:$D$5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0" localSheetId="0" hidden="1">'Nova Ala Hospitalar'!$D$11</definedName>
    <definedName name="solver_lhs1" localSheetId="0" hidden="1">'Nova Ala Hospitalar'!$D$11</definedName>
    <definedName name="solver_lhs2" localSheetId="0" hidden="1">'Nova Ala Hospitalar'!$D$12</definedName>
    <definedName name="solver_lhs3" localSheetId="0" hidden="1">'Nova Ala Hospitalar'!$D$14</definedName>
    <definedName name="solver_lhs4" localSheetId="0" hidden="1">'Nova Ala Hospitalar'!$D$3</definedName>
    <definedName name="solver_lhs5" localSheetId="0" hidden="1">'Nova Ala Hospitalar'!$D$3</definedName>
    <definedName name="solver_lhs6" localSheetId="0" hidden="1">'Nova Ala Hospitalar'!$D$4</definedName>
    <definedName name="solver_lhs7" localSheetId="0" hidden="1">'Nova Ala Hospitalar'!$D$5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'Nova Ala Hospitalar'!$D$8</definedName>
    <definedName name="solver_pre" localSheetId="0" hidden="1">0.000001</definedName>
    <definedName name="solver_rbv" localSheetId="0" hidden="1">2</definedName>
    <definedName name="solver_rel0" localSheetId="0" hidden="1">1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4</definedName>
    <definedName name="solver_rel6" localSheetId="0" hidden="1">4</definedName>
    <definedName name="solver_rel7" localSheetId="0" hidden="1">4</definedName>
    <definedName name="solver_rhs0" localSheetId="0" hidden="1">'Nova Ala Hospitalar'!$E$11</definedName>
    <definedName name="solver_rhs1" localSheetId="0" hidden="1">'Nova Ala Hospitalar'!$E$11</definedName>
    <definedName name="solver_rhs2" localSheetId="0" hidden="1">'Nova Ala Hospitalar'!$E$12</definedName>
    <definedName name="solver_rhs3" localSheetId="0" hidden="1">'Nova Ala Hospitalar'!$E$14</definedName>
    <definedName name="solver_rhs4" localSheetId="0" hidden="1">'Nova Ala Hospitalar'!$D$13</definedName>
    <definedName name="solver_rhs5" localSheetId="0" hidden="1">"número inteiro"</definedName>
    <definedName name="solver_rhs6" localSheetId="0" hidden="1">"número inteiro"</definedName>
    <definedName name="solver_rhs7" localSheetId="0" hidden="1">"número inteiro"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2" i="1"/>
  <c r="D11" i="1"/>
  <c r="D8" i="1"/>
</calcChain>
</file>

<file path=xl/sharedStrings.xml><?xml version="1.0" encoding="utf-8"?>
<sst xmlns="http://schemas.openxmlformats.org/spreadsheetml/2006/main" count="25" uniqueCount="25">
  <si>
    <t>Variáveis de decisão</t>
  </si>
  <si>
    <t>Função Objetivo</t>
  </si>
  <si>
    <t>Restrições</t>
  </si>
  <si>
    <t>Restrição de Domínio das Variáveis</t>
  </si>
  <si>
    <t>Célula variável</t>
  </si>
  <si>
    <t>Célula com equação</t>
  </si>
  <si>
    <t>Célula com dados de entrada</t>
  </si>
  <si>
    <t>Quantiadade de quartos individuais</t>
  </si>
  <si>
    <t>Quantidade de quartos duplos</t>
  </si>
  <si>
    <t>Quantidade de quartos triplos</t>
  </si>
  <si>
    <t>q1=</t>
  </si>
  <si>
    <t>q2=</t>
  </si>
  <si>
    <t>q3=</t>
  </si>
  <si>
    <t>Restrição de Área</t>
  </si>
  <si>
    <t>Restrição de Capacidade</t>
  </si>
  <si>
    <t>Restrição de Limite de Quartos Individuais</t>
  </si>
  <si>
    <t>Restrição de Número Mínimo de Leitos</t>
  </si>
  <si>
    <t>q1 inteira</t>
  </si>
  <si>
    <t>q2 inteira</t>
  </si>
  <si>
    <t>q3 inteira</t>
  </si>
  <si>
    <t>10q1 + 15q2 + 18q3 ≤</t>
  </si>
  <si>
    <t>q1 + q2 + q3 ≤</t>
  </si>
  <si>
    <t>q1 ≤</t>
  </si>
  <si>
    <r>
      <t xml:space="preserve">q1 + 2q2 + 3q3 </t>
    </r>
    <r>
      <rPr>
        <sz val="11"/>
        <color theme="1"/>
        <rFont val="Aptos Narrow"/>
        <family val="2"/>
      </rPr>
      <t>≥</t>
    </r>
  </si>
  <si>
    <t>R = 7500q1 + 6000q2 + 4500q3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</si>
</sst>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4" xfId="0" applyFont="1" applyBorder="1"/>
    <xf numFmtId="0" fontId="1" fillId="0" borderId="7" xfId="0" applyFont="1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3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right"/>
    </xf>
    <xf numFmtId="0" fontId="1" fillId="0" borderId="10" xfId="0" applyFont="1" applyBorder="1"/>
    <xf numFmtId="0" fontId="0" fillId="2" borderId="11" xfId="0" applyFill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3" borderId="0" xfId="0" applyFill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7"/>
  <sheetViews>
    <sheetView showGridLines="0" tabSelected="1" workbookViewId="0">
      <selection activeCell="C21" sqref="C21"/>
    </sheetView>
  </sheetViews>
  <sheetFormatPr defaultRowHeight="14.4" x14ac:dyDescent="0.3"/>
  <cols>
    <col min="2" max="2" width="51" bestFit="1" customWidth="1"/>
    <col min="3" max="3" width="18.44140625" bestFit="1" customWidth="1"/>
  </cols>
  <sheetData>
    <row r="1" spans="2:10" ht="15" thickBot="1" x14ac:dyDescent="0.35"/>
    <row r="2" spans="2:10" ht="15" thickBot="1" x14ac:dyDescent="0.35">
      <c r="B2" s="26" t="s">
        <v>0</v>
      </c>
      <c r="C2" s="27"/>
      <c r="D2" s="28"/>
      <c r="H2" s="33" t="s">
        <v>4</v>
      </c>
      <c r="I2" s="33"/>
      <c r="J2" s="33"/>
    </row>
    <row r="3" spans="2:10" x14ac:dyDescent="0.3">
      <c r="B3" s="4" t="s">
        <v>7</v>
      </c>
      <c r="C3" s="2" t="s">
        <v>10</v>
      </c>
      <c r="D3" s="12">
        <v>30</v>
      </c>
      <c r="H3" s="34" t="s">
        <v>5</v>
      </c>
      <c r="I3" s="34"/>
      <c r="J3" s="34"/>
    </row>
    <row r="4" spans="2:10" x14ac:dyDescent="0.3">
      <c r="B4" s="20" t="s">
        <v>8</v>
      </c>
      <c r="C4" s="19" t="s">
        <v>11</v>
      </c>
      <c r="D4" s="21">
        <v>30</v>
      </c>
      <c r="H4" s="35" t="s">
        <v>6</v>
      </c>
      <c r="I4" s="35"/>
      <c r="J4" s="35"/>
    </row>
    <row r="5" spans="2:10" ht="15" thickBot="1" x14ac:dyDescent="0.35">
      <c r="B5" s="5" t="s">
        <v>9</v>
      </c>
      <c r="C5" s="3" t="s">
        <v>12</v>
      </c>
      <c r="D5" s="13">
        <v>10</v>
      </c>
    </row>
    <row r="6" spans="2:10" ht="15" thickBot="1" x14ac:dyDescent="0.35"/>
    <row r="7" spans="2:10" ht="15" thickBot="1" x14ac:dyDescent="0.35">
      <c r="B7" s="29" t="s">
        <v>1</v>
      </c>
      <c r="C7" s="30"/>
      <c r="D7" s="31"/>
    </row>
    <row r="8" spans="2:10" ht="15" thickBot="1" x14ac:dyDescent="0.35">
      <c r="B8" s="29" t="s">
        <v>24</v>
      </c>
      <c r="C8" s="30"/>
      <c r="D8" s="11">
        <f>7500*D3+6000*D4+4500*D5</f>
        <v>450000</v>
      </c>
    </row>
    <row r="9" spans="2:10" ht="15" thickBot="1" x14ac:dyDescent="0.35">
      <c r="B9" s="1"/>
      <c r="C9" s="1"/>
    </row>
    <row r="10" spans="2:10" ht="15" thickBot="1" x14ac:dyDescent="0.35">
      <c r="B10" s="4" t="s">
        <v>2</v>
      </c>
      <c r="C10" s="22"/>
      <c r="D10" s="22"/>
      <c r="E10" s="23"/>
    </row>
    <row r="11" spans="2:10" x14ac:dyDescent="0.3">
      <c r="B11" s="10" t="s">
        <v>13</v>
      </c>
      <c r="C11" s="2" t="s">
        <v>20</v>
      </c>
      <c r="D11" s="14">
        <f>10*D3+15*D4+18*D5</f>
        <v>930</v>
      </c>
      <c r="E11" s="15">
        <v>1200</v>
      </c>
    </row>
    <row r="12" spans="2:10" x14ac:dyDescent="0.3">
      <c r="B12" s="9" t="s">
        <v>14</v>
      </c>
      <c r="C12" s="19" t="s">
        <v>21</v>
      </c>
      <c r="D12" s="17">
        <f>D3+D4+D5</f>
        <v>70</v>
      </c>
      <c r="E12" s="16">
        <v>70</v>
      </c>
    </row>
    <row r="13" spans="2:10" x14ac:dyDescent="0.3">
      <c r="B13" s="9" t="s">
        <v>15</v>
      </c>
      <c r="C13" s="19" t="s">
        <v>22</v>
      </c>
      <c r="D13" s="18">
        <v>30</v>
      </c>
      <c r="E13" s="6"/>
    </row>
    <row r="14" spans="2:10" x14ac:dyDescent="0.3">
      <c r="B14" s="9" t="s">
        <v>16</v>
      </c>
      <c r="C14" s="19" t="s">
        <v>23</v>
      </c>
      <c r="D14" s="25">
        <f>D3+2*D4+3*D5</f>
        <v>120</v>
      </c>
      <c r="E14" s="16">
        <v>120</v>
      </c>
    </row>
    <row r="15" spans="2:10" x14ac:dyDescent="0.3">
      <c r="B15" s="32" t="s">
        <v>3</v>
      </c>
      <c r="C15" s="19" t="s">
        <v>17</v>
      </c>
      <c r="E15" s="6"/>
    </row>
    <row r="16" spans="2:10" x14ac:dyDescent="0.3">
      <c r="B16" s="32"/>
      <c r="C16" s="19" t="s">
        <v>18</v>
      </c>
      <c r="E16" s="6"/>
    </row>
    <row r="17" spans="2:5" ht="15" thickBot="1" x14ac:dyDescent="0.35">
      <c r="B17" s="24"/>
      <c r="C17" s="3" t="s">
        <v>19</v>
      </c>
      <c r="D17" s="7"/>
      <c r="E17" s="8"/>
    </row>
  </sheetData>
  <mergeCells count="7">
    <mergeCell ref="B2:D2"/>
    <mergeCell ref="B8:C8"/>
    <mergeCell ref="B7:D7"/>
    <mergeCell ref="B15:B16"/>
    <mergeCell ref="H2:J2"/>
    <mergeCell ref="H3:J3"/>
    <mergeCell ref="H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Nova Ala Hospitalar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Proprietario</dc:creator>
  <cp:lastModifiedBy>Cassiano Isler</cp:lastModifiedBy>
  <dcterms:created xsi:type="dcterms:W3CDTF">2025-05-13T18:35:52Z</dcterms:created>
  <dcterms:modified xsi:type="dcterms:W3CDTF">2025-05-29T23:58:01Z</dcterms:modified>
</cp:coreProperties>
</file>