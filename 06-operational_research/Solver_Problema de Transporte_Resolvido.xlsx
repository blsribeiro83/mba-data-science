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DAC68ED0-C1E9-4BED-958B-76BC1C8C94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porte e Transbordo" sheetId="1" r:id="rId1"/>
  </sheets>
  <definedNames>
    <definedName name="solver_adj" localSheetId="0" hidden="1">'Transporte e Transbordo'!$C$10:$E$11,'Transporte e Transbordo'!$C$12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'Transporte e Transbordo'!$E$27</definedName>
    <definedName name="solver_lhs2" localSheetId="0" hidden="1">'Transporte e Transbordo'!$C$10:$E$11</definedName>
    <definedName name="solver_lhs3" localSheetId="0" hidden="1">'Transporte e Transbordo'!$C$27</definedName>
    <definedName name="solver_lhs4" localSheetId="0" hidden="1">'Transporte e Transbordo'!$D$11</definedName>
    <definedName name="solver_lhs5" localSheetId="0" hidden="1">'Transporte e Transbordo'!$C$12</definedName>
    <definedName name="solver_lhs6" localSheetId="0" hidden="1">'Transporte e Transbordo'!$D$27</definedName>
    <definedName name="solver_lhs7" localSheetId="0" hidden="1">'Transporte e Transbordo'!$C$22</definedName>
    <definedName name="solver_lhs8" localSheetId="0" hidden="1">'Transporte e Transbordo'!$C$23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'Transporte e Transbordo'!$C$16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3</definedName>
    <definedName name="solver_rel3" localSheetId="0" hidden="1">2</definedName>
    <definedName name="solver_rel4" localSheetId="0" hidden="1">2</definedName>
    <definedName name="solver_rel5" localSheetId="0" hidden="1">4</definedName>
    <definedName name="solver_rel6" localSheetId="0" hidden="1">2</definedName>
    <definedName name="solver_rel7" localSheetId="0" hidden="1">1</definedName>
    <definedName name="solver_rel8" localSheetId="0" hidden="1">1</definedName>
    <definedName name="solver_rhs1" localSheetId="0" hidden="1">'Transporte e Transbordo'!$E$28</definedName>
    <definedName name="solver_rhs2" localSheetId="0" hidden="1">0</definedName>
    <definedName name="solver_rhs3" localSheetId="0" hidden="1">'Transporte e Transbordo'!$C$28</definedName>
    <definedName name="solver_rhs4" localSheetId="0" hidden="1">'Transporte e Transbordo'!$C$30</definedName>
    <definedName name="solver_rhs5" localSheetId="0" hidden="1">"número inteiro"</definedName>
    <definedName name="solver_rhs6" localSheetId="0" hidden="1">'Transporte e Transbordo'!$D$28</definedName>
    <definedName name="solver_rhs7" localSheetId="0" hidden="1">'Transporte e Transbordo'!$D$22</definedName>
    <definedName name="solver_rhs8" localSheetId="0" hidden="1">'Transporte e Transbordo'!$D$23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22" i="1"/>
  <c r="C23" i="1"/>
  <c r="C27" i="1"/>
  <c r="D27" i="1"/>
  <c r="E27" i="1"/>
  <c r="C30" i="1"/>
</calcChain>
</file>

<file path=xl/sharedStrings.xml><?xml version="1.0" encoding="utf-8"?>
<sst xmlns="http://schemas.openxmlformats.org/spreadsheetml/2006/main" count="45" uniqueCount="27">
  <si>
    <t>Origem/Destino</t>
  </si>
  <si>
    <t>L1</t>
  </si>
  <si>
    <t>L2</t>
  </si>
  <si>
    <t>L3</t>
  </si>
  <si>
    <t>CD1</t>
  </si>
  <si>
    <t>CD2</t>
  </si>
  <si>
    <t>Custos</t>
  </si>
  <si>
    <t>Variáveis de Decisão</t>
  </si>
  <si>
    <t>Função objetivo</t>
  </si>
  <si>
    <t>Soma produto de custos e variáveis</t>
  </si>
  <si>
    <t>Restrição de demanda</t>
  </si>
  <si>
    <t>Restrição de oferta</t>
  </si>
  <si>
    <t>inteira</t>
  </si>
  <si>
    <t>k (quantidade de caminhões)</t>
  </si>
  <si>
    <t>Célula variável</t>
  </si>
  <si>
    <t>Célula com equação</t>
  </si>
  <si>
    <t>Célula com dados de entrada</t>
  </si>
  <si>
    <t>Restrição de múltiplo de 7 entre CD2 e L2</t>
  </si>
  <si>
    <t>contínuas</t>
  </si>
  <si>
    <t>Soma de saídas do CD</t>
  </si>
  <si>
    <t>Soma de entradas nas lojas</t>
  </si>
  <si>
    <t>Demanda da loja</t>
  </si>
  <si>
    <t>Capacidade do CD</t>
  </si>
  <si>
    <t>Restrição de domínio das variáveis</t>
  </si>
  <si>
    <t>Origem</t>
  </si>
  <si>
    <t>Destino</t>
  </si>
  <si>
    <t>Restrições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</si>
</sst>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showGridLines="0" tabSelected="1" zoomScaleNormal="100" workbookViewId="0">
      <selection activeCell="I19" sqref="I19"/>
    </sheetView>
  </sheetViews>
  <sheetFormatPr defaultRowHeight="14.4" x14ac:dyDescent="0.3"/>
  <cols>
    <col min="2" max="2" width="36.88671875" bestFit="1" customWidth="1"/>
    <col min="3" max="5" width="20.5546875" customWidth="1"/>
    <col min="7" max="7" width="13.21875" customWidth="1"/>
    <col min="10" max="12" width="10.109375" customWidth="1"/>
  </cols>
  <sheetData>
    <row r="2" spans="2:10" x14ac:dyDescent="0.3">
      <c r="B2" s="45" t="s">
        <v>6</v>
      </c>
      <c r="C2" s="45"/>
      <c r="D2" s="45"/>
      <c r="E2" s="45"/>
      <c r="H2" s="53" t="s">
        <v>14</v>
      </c>
      <c r="I2" s="53"/>
      <c r="J2" s="53"/>
    </row>
    <row r="3" spans="2:10" ht="15" thickBot="1" x14ac:dyDescent="0.35">
      <c r="B3" s="9" t="s">
        <v>0</v>
      </c>
      <c r="C3" s="1" t="s">
        <v>1</v>
      </c>
      <c r="D3" s="1" t="s">
        <v>2</v>
      </c>
      <c r="E3" s="1" t="s">
        <v>3</v>
      </c>
      <c r="H3" s="54" t="s">
        <v>15</v>
      </c>
      <c r="I3" s="54"/>
      <c r="J3" s="54"/>
    </row>
    <row r="4" spans="2:10" x14ac:dyDescent="0.3">
      <c r="B4" s="9" t="s">
        <v>4</v>
      </c>
      <c r="C4" s="12">
        <v>5</v>
      </c>
      <c r="D4" s="13">
        <v>6</v>
      </c>
      <c r="E4" s="14">
        <v>5</v>
      </c>
      <c r="H4" s="55" t="s">
        <v>16</v>
      </c>
      <c r="I4" s="55"/>
      <c r="J4" s="55"/>
    </row>
    <row r="5" spans="2:10" ht="15" thickBot="1" x14ac:dyDescent="0.35">
      <c r="B5" s="9" t="s">
        <v>5</v>
      </c>
      <c r="C5" s="15">
        <v>5</v>
      </c>
      <c r="D5" s="16">
        <v>7</v>
      </c>
      <c r="E5" s="17">
        <v>7</v>
      </c>
    </row>
    <row r="6" spans="2:10" x14ac:dyDescent="0.3">
      <c r="G6" s="4"/>
    </row>
    <row r="7" spans="2:10" x14ac:dyDescent="0.3">
      <c r="D7" s="3"/>
      <c r="E7" s="3"/>
      <c r="G7" s="4"/>
    </row>
    <row r="8" spans="2:10" ht="15" thickBot="1" x14ac:dyDescent="0.35">
      <c r="B8" s="46" t="s">
        <v>7</v>
      </c>
      <c r="C8" s="46"/>
      <c r="D8" s="46"/>
      <c r="E8" s="46"/>
    </row>
    <row r="9" spans="2:10" ht="15" thickBot="1" x14ac:dyDescent="0.35">
      <c r="B9" s="28" t="s">
        <v>0</v>
      </c>
      <c r="C9" s="24" t="s">
        <v>1</v>
      </c>
      <c r="D9" s="24" t="s">
        <v>2</v>
      </c>
      <c r="E9" s="25" t="s">
        <v>3</v>
      </c>
    </row>
    <row r="10" spans="2:10" x14ac:dyDescent="0.3">
      <c r="B10" s="29" t="s">
        <v>4</v>
      </c>
      <c r="C10" s="21">
        <v>0</v>
      </c>
      <c r="D10" s="22">
        <v>14</v>
      </c>
      <c r="E10" s="23">
        <v>25</v>
      </c>
    </row>
    <row r="11" spans="2:10" ht="15" thickBot="1" x14ac:dyDescent="0.35">
      <c r="B11" s="30" t="s">
        <v>5</v>
      </c>
      <c r="C11" s="5">
        <v>30</v>
      </c>
      <c r="D11" s="6">
        <v>21</v>
      </c>
      <c r="E11" s="7">
        <v>0</v>
      </c>
    </row>
    <row r="12" spans="2:10" ht="15" thickBot="1" x14ac:dyDescent="0.35">
      <c r="B12" s="35" t="s">
        <v>13</v>
      </c>
      <c r="C12" s="8">
        <v>3</v>
      </c>
      <c r="D12" s="4"/>
      <c r="E12" s="4"/>
    </row>
    <row r="15" spans="2:10" ht="15" thickBot="1" x14ac:dyDescent="0.35">
      <c r="B15" s="46" t="s">
        <v>8</v>
      </c>
      <c r="C15" s="46"/>
      <c r="D15" s="46"/>
      <c r="E15" s="46"/>
    </row>
    <row r="16" spans="2:10" ht="15" thickBot="1" x14ac:dyDescent="0.35">
      <c r="B16" s="1" t="s">
        <v>9</v>
      </c>
      <c r="C16" s="19">
        <f>SUMPRODUCT(C4:E5,C10:E11)</f>
        <v>506</v>
      </c>
    </row>
    <row r="17" spans="2:5" x14ac:dyDescent="0.3">
      <c r="B17" s="2"/>
    </row>
    <row r="18" spans="2:5" x14ac:dyDescent="0.3">
      <c r="B18" s="46" t="s">
        <v>26</v>
      </c>
      <c r="C18" s="46"/>
      <c r="D18" s="46"/>
      <c r="E18" s="46"/>
    </row>
    <row r="19" spans="2:5" ht="15" thickBot="1" x14ac:dyDescent="0.35"/>
    <row r="20" spans="2:5" ht="15" thickBot="1" x14ac:dyDescent="0.35">
      <c r="B20" s="47" t="s">
        <v>11</v>
      </c>
      <c r="C20" s="48"/>
      <c r="D20" s="49"/>
    </row>
    <row r="21" spans="2:5" ht="15" thickBot="1" x14ac:dyDescent="0.35">
      <c r="B21" s="33" t="s">
        <v>24</v>
      </c>
      <c r="C21" s="35" t="s">
        <v>19</v>
      </c>
      <c r="D21" s="33" t="s">
        <v>22</v>
      </c>
    </row>
    <row r="22" spans="2:5" x14ac:dyDescent="0.3">
      <c r="B22" s="29" t="s">
        <v>4</v>
      </c>
      <c r="C22" s="27">
        <f>SUM(C10:E10)</f>
        <v>39</v>
      </c>
      <c r="D22" s="26">
        <v>40</v>
      </c>
    </row>
    <row r="23" spans="2:5" ht="15" thickBot="1" x14ac:dyDescent="0.35">
      <c r="B23" s="30" t="s">
        <v>5</v>
      </c>
      <c r="C23" s="10">
        <f>SUM(C11:E11)</f>
        <v>51</v>
      </c>
      <c r="D23" s="17">
        <v>60</v>
      </c>
    </row>
    <row r="24" spans="2:5" ht="15" thickBot="1" x14ac:dyDescent="0.35">
      <c r="B24" s="9"/>
      <c r="C24" s="4"/>
      <c r="D24" s="3"/>
    </row>
    <row r="25" spans="2:5" ht="15" thickBot="1" x14ac:dyDescent="0.35">
      <c r="B25" s="47" t="s">
        <v>10</v>
      </c>
      <c r="C25" s="48"/>
      <c r="D25" s="48"/>
      <c r="E25" s="49"/>
    </row>
    <row r="26" spans="2:5" ht="15" thickBot="1" x14ac:dyDescent="0.35">
      <c r="B26" s="34" t="s">
        <v>25</v>
      </c>
      <c r="C26" s="24" t="s">
        <v>1</v>
      </c>
      <c r="D26" s="24" t="s">
        <v>2</v>
      </c>
      <c r="E26" s="25" t="s">
        <v>3</v>
      </c>
    </row>
    <row r="27" spans="2:5" x14ac:dyDescent="0.3">
      <c r="B27" s="37" t="s">
        <v>20</v>
      </c>
      <c r="C27" s="20">
        <f>SUM(C10:C11)</f>
        <v>30</v>
      </c>
      <c r="D27" s="20">
        <f>SUM(D10:D11)</f>
        <v>35</v>
      </c>
      <c r="E27" s="32">
        <f>SUM(E10:E11)</f>
        <v>25</v>
      </c>
    </row>
    <row r="28" spans="2:5" ht="15" thickBot="1" x14ac:dyDescent="0.35">
      <c r="B28" s="38" t="s">
        <v>21</v>
      </c>
      <c r="C28" s="16">
        <v>30</v>
      </c>
      <c r="D28" s="16">
        <v>35</v>
      </c>
      <c r="E28" s="17">
        <v>25</v>
      </c>
    </row>
    <row r="29" spans="2:5" ht="22.5" customHeight="1" thickBot="1" x14ac:dyDescent="0.35">
      <c r="B29" s="9"/>
    </row>
    <row r="30" spans="2:5" ht="15" thickBot="1" x14ac:dyDescent="0.35">
      <c r="B30" s="36" t="s">
        <v>17</v>
      </c>
      <c r="C30" s="11">
        <f>7*C12</f>
        <v>21</v>
      </c>
    </row>
    <row r="31" spans="2:5" ht="15" thickBot="1" x14ac:dyDescent="0.35"/>
    <row r="32" spans="2:5" ht="15" thickBot="1" x14ac:dyDescent="0.35">
      <c r="B32" s="50" t="s">
        <v>23</v>
      </c>
      <c r="C32" s="51"/>
      <c r="D32" s="51"/>
      <c r="E32" s="52"/>
    </row>
    <row r="33" spans="2:5" ht="15" thickBot="1" x14ac:dyDescent="0.35">
      <c r="B33" s="28" t="s">
        <v>0</v>
      </c>
      <c r="C33" s="24" t="s">
        <v>1</v>
      </c>
      <c r="D33" s="24" t="s">
        <v>2</v>
      </c>
      <c r="E33" s="25" t="s">
        <v>3</v>
      </c>
    </row>
    <row r="34" spans="2:5" x14ac:dyDescent="0.3">
      <c r="B34" s="29" t="s">
        <v>4</v>
      </c>
      <c r="C34" s="39" t="s">
        <v>18</v>
      </c>
      <c r="D34" s="40"/>
      <c r="E34" s="41"/>
    </row>
    <row r="35" spans="2:5" ht="15" thickBot="1" x14ac:dyDescent="0.35">
      <c r="B35" s="30" t="s">
        <v>5</v>
      </c>
      <c r="C35" s="42"/>
      <c r="D35" s="43"/>
      <c r="E35" s="44"/>
    </row>
    <row r="36" spans="2:5" ht="15" thickBot="1" x14ac:dyDescent="0.35">
      <c r="B36" s="18" t="s">
        <v>13</v>
      </c>
      <c r="C36" s="31" t="s">
        <v>12</v>
      </c>
    </row>
  </sheetData>
  <mergeCells count="11">
    <mergeCell ref="H2:J2"/>
    <mergeCell ref="H3:J3"/>
    <mergeCell ref="H4:J4"/>
    <mergeCell ref="B8:E8"/>
    <mergeCell ref="C34:E35"/>
    <mergeCell ref="B2:E2"/>
    <mergeCell ref="B15:E15"/>
    <mergeCell ref="B20:D20"/>
    <mergeCell ref="B25:E25"/>
    <mergeCell ref="B32:E32"/>
    <mergeCell ref="B18:E18"/>
  </mergeCells>
  <pageMargins left="0.7" right="0.7" top="0.75" bottom="0.75" header="0.3" footer="0.3"/>
  <ignoredErrors>
    <ignoredError sqref="C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Transporte e Transbordo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2025-05-21T18:45:43Z</dcterms:modified>
</cp:coreProperties>
</file>