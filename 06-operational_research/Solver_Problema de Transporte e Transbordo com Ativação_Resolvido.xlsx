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3_Aula 3 - Programação Inteira\"/>
    </mc:Choice>
  </mc:AlternateContent>
  <xr:revisionPtr revIDLastSave="0" documentId="13_ncr:1_{D771F7C9-523E-49B6-A0AC-C2E964BE8F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porte e Transbordo" sheetId="1" r:id="rId1"/>
  </sheets>
  <definedNames>
    <definedName name="solver_adj" localSheetId="0" hidden="1">'Transporte e Transbordo'!$C$12:$G$13,'Transporte e Transbordo'!$C$14:$E$15,'Transporte e Transbordo'!$C$16,'Transporte e Transbordo'!$C$19:$C$20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0" localSheetId="0" hidden="1">'Transporte e Transbordo'!$D$13</definedName>
    <definedName name="solver_lhs1" localSheetId="0" hidden="1">'Transporte e Transbordo'!$C$12:$G$13</definedName>
    <definedName name="solver_lhs10" localSheetId="0" hidden="1">'Transporte e Transbordo'!$C$46</definedName>
    <definedName name="solver_lhs11" localSheetId="0" hidden="1">'Transporte e Transbordo'!$C$47</definedName>
    <definedName name="solver_lhs12" localSheetId="0" hidden="1">'Transporte e Transbordo'!$D$13</definedName>
    <definedName name="solver_lhs13" localSheetId="0" hidden="1">'Transporte e Transbordo'!$D$34</definedName>
    <definedName name="solver_lhs14" localSheetId="0" hidden="1">'Transporte e Transbordo'!$E$34</definedName>
    <definedName name="solver_lhs2" localSheetId="0" hidden="1">'Transporte e Transbordo'!$C$14:$E$15</definedName>
    <definedName name="solver_lhs3" localSheetId="0" hidden="1">'Transporte e Transbordo'!$C$16</definedName>
    <definedName name="solver_lhs4" localSheetId="0" hidden="1">'Transporte e Transbordo'!$C$19:$C$20</definedName>
    <definedName name="solver_lhs5" localSheetId="0" hidden="1">'Transporte e Transbordo'!$C$29</definedName>
    <definedName name="solver_lhs6" localSheetId="0" hidden="1">'Transporte e Transbordo'!$C$30</definedName>
    <definedName name="solver_lhs7" localSheetId="0" hidden="1">'Transporte e Transbordo'!$C$34</definedName>
    <definedName name="solver_lhs8" localSheetId="0" hidden="1">'Transporte e Transbordo'!$C$41</definedName>
    <definedName name="solver_lhs9" localSheetId="0" hidden="1">'Transporte e Transbordo'!$C$42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14</definedName>
    <definedName name="solver_nwt" localSheetId="0" hidden="1">1</definedName>
    <definedName name="solver_opt" localSheetId="0" hidden="1">'Transporte e Transbordo'!$C$23</definedName>
    <definedName name="solver_pre" localSheetId="0" hidden="1">0.000001</definedName>
    <definedName name="solver_rbv" localSheetId="0" hidden="1">1</definedName>
    <definedName name="solver_rel0" localSheetId="0" hidden="1">2</definedName>
    <definedName name="solver_rel1" localSheetId="0" hidden="1">3</definedName>
    <definedName name="solver_rel10" localSheetId="0" hidden="1">1</definedName>
    <definedName name="solver_rel11" localSheetId="0" hidden="1">1</definedName>
    <definedName name="solver_rel12" localSheetId="0" hidden="1">2</definedName>
    <definedName name="solver_rel13" localSheetId="0" hidden="1">2</definedName>
    <definedName name="solver_rel14" localSheetId="0" hidden="1">2</definedName>
    <definedName name="solver_rel2" localSheetId="0" hidden="1">3</definedName>
    <definedName name="solver_rel3" localSheetId="0" hidden="1">4</definedName>
    <definedName name="solver_rel4" localSheetId="0" hidden="1">5</definedName>
    <definedName name="solver_rel5" localSheetId="0" hidden="1">1</definedName>
    <definedName name="solver_rel6" localSheetId="0" hidden="1">1</definedName>
    <definedName name="solver_rel7" localSheetId="0" hidden="1">2</definedName>
    <definedName name="solver_rel8" localSheetId="0" hidden="1">2</definedName>
    <definedName name="solver_rel9" localSheetId="0" hidden="1">2</definedName>
    <definedName name="solver_rhs0" localSheetId="0" hidden="1">'Transporte e Transbordo'!$C$37</definedName>
    <definedName name="solver_rhs1" localSheetId="0" hidden="1">0</definedName>
    <definedName name="solver_rhs10" localSheetId="0" hidden="1">'Transporte e Transbordo'!$D$46</definedName>
    <definedName name="solver_rhs11" localSheetId="0" hidden="1">'Transporte e Transbordo'!$D$47</definedName>
    <definedName name="solver_rhs12" localSheetId="0" hidden="1">'Transporte e Transbordo'!$C$37</definedName>
    <definedName name="solver_rhs13" localSheetId="0" hidden="1">'Transporte e Transbordo'!$D$35</definedName>
    <definedName name="solver_rhs14" localSheetId="0" hidden="1">'Transporte e Transbordo'!$E$35</definedName>
    <definedName name="solver_rhs2" localSheetId="0" hidden="1">0</definedName>
    <definedName name="solver_rhs3" localSheetId="0" hidden="1">"número inteiro"</definedName>
    <definedName name="solver_rhs4" localSheetId="0" hidden="1">"binário"</definedName>
    <definedName name="solver_rhs5" localSheetId="0" hidden="1">'Transporte e Transbordo'!$D$29</definedName>
    <definedName name="solver_rhs6" localSheetId="0" hidden="1">'Transporte e Transbordo'!$D$30</definedName>
    <definedName name="solver_rhs7" localSheetId="0" hidden="1">'Transporte e Transbordo'!$C$35</definedName>
    <definedName name="solver_rhs8" localSheetId="0" hidden="1">'Transporte e Transbordo'!$D$41</definedName>
    <definedName name="solver_rhs9" localSheetId="0" hidden="1">'Transporte e Transbordo'!$D$42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46" i="1"/>
  <c r="D42" i="1"/>
  <c r="D41" i="1"/>
  <c r="C42" i="1"/>
  <c r="C41" i="1"/>
  <c r="C37" i="1"/>
  <c r="E34" i="1"/>
  <c r="D34" i="1"/>
  <c r="C34" i="1"/>
  <c r="C30" i="1"/>
  <c r="C29" i="1"/>
  <c r="C47" i="1"/>
  <c r="C46" i="1"/>
  <c r="D47" i="1"/>
</calcChain>
</file>

<file path=xl/sharedStrings.xml><?xml version="1.0" encoding="utf-8"?>
<sst xmlns="http://schemas.openxmlformats.org/spreadsheetml/2006/main" count="75" uniqueCount="38">
  <si>
    <t>Origem/Destino</t>
  </si>
  <si>
    <t>L1</t>
  </si>
  <si>
    <t>L2</t>
  </si>
  <si>
    <t>L3</t>
  </si>
  <si>
    <t>CD1</t>
  </si>
  <si>
    <t>CD2</t>
  </si>
  <si>
    <t>Custos</t>
  </si>
  <si>
    <t>Variáveis de Decisão</t>
  </si>
  <si>
    <t>Função objetivo</t>
  </si>
  <si>
    <t>Soma produto de custos e variáveis</t>
  </si>
  <si>
    <t>Restrição de demanda</t>
  </si>
  <si>
    <t>Restrição de oferta</t>
  </si>
  <si>
    <t>inteira</t>
  </si>
  <si>
    <t>k (quantidade de caminhões)</t>
  </si>
  <si>
    <t>Célula variável</t>
  </si>
  <si>
    <t>Célula com equação</t>
  </si>
  <si>
    <t>Célula com dados de entrada</t>
  </si>
  <si>
    <t>Restrição de múltiplo de 7 entre CD2 e L2</t>
  </si>
  <si>
    <t>contínuas</t>
  </si>
  <si>
    <t>Soma de saídas do CD</t>
  </si>
  <si>
    <t>Soma de entradas nas lojas</t>
  </si>
  <si>
    <t>Demanda da loja</t>
  </si>
  <si>
    <t>Capacidade do CD</t>
  </si>
  <si>
    <t>Restrição de domínio das variáveis</t>
  </si>
  <si>
    <t>Origem</t>
  </si>
  <si>
    <t>Destino</t>
  </si>
  <si>
    <t>Restrições</t>
  </si>
  <si>
    <t>T1</t>
  </si>
  <si>
    <t>T2</t>
  </si>
  <si>
    <t>Abertura de Terminais</t>
  </si>
  <si>
    <t>Saída</t>
  </si>
  <si>
    <t>Restrição de Capacidade nos Terminais</t>
  </si>
  <si>
    <t>Capacidade</t>
  </si>
  <si>
    <t>Terminal</t>
  </si>
  <si>
    <t>Entrada</t>
  </si>
  <si>
    <t>Custo</t>
  </si>
  <si>
    <t>Restrição de Equilíbrio de Fluxo nos Transbordos</t>
  </si>
  <si>
    <t>binárias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</si>
</sst>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3" borderId="11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9" xfId="0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7"/>
  <sheetViews>
    <sheetView showGridLines="0" tabSelected="1" topLeftCell="A23" zoomScaleNormal="100" workbookViewId="0">
      <selection activeCell="K39" sqref="K39:L39"/>
    </sheetView>
  </sheetViews>
  <sheetFormatPr defaultRowHeight="14.4" x14ac:dyDescent="0.3"/>
  <cols>
    <col min="2" max="2" width="36.88671875" bestFit="1" customWidth="1"/>
    <col min="3" max="5" width="20.5546875" customWidth="1"/>
    <col min="7" max="7" width="13.21875" customWidth="1"/>
    <col min="10" max="12" width="10.109375" customWidth="1"/>
  </cols>
  <sheetData>
    <row r="2" spans="2:11" ht="15" thickBot="1" x14ac:dyDescent="0.35">
      <c r="B2" s="73" t="s">
        <v>6</v>
      </c>
      <c r="C2" s="73"/>
      <c r="D2" s="73"/>
      <c r="E2" s="73"/>
      <c r="I2" s="63" t="s">
        <v>14</v>
      </c>
      <c r="J2" s="63"/>
      <c r="K2" s="63"/>
    </row>
    <row r="3" spans="2:11" ht="15" thickBot="1" x14ac:dyDescent="0.35">
      <c r="B3" s="35" t="s">
        <v>0</v>
      </c>
      <c r="C3" s="26" t="s">
        <v>1</v>
      </c>
      <c r="D3" s="22" t="s">
        <v>2</v>
      </c>
      <c r="E3" s="23" t="s">
        <v>3</v>
      </c>
      <c r="F3" s="26" t="s">
        <v>27</v>
      </c>
      <c r="G3" s="23" t="s">
        <v>28</v>
      </c>
      <c r="I3" s="64" t="s">
        <v>15</v>
      </c>
      <c r="J3" s="64"/>
      <c r="K3" s="64"/>
    </row>
    <row r="4" spans="2:11" x14ac:dyDescent="0.3">
      <c r="B4" s="35" t="s">
        <v>4</v>
      </c>
      <c r="C4" s="11">
        <v>5</v>
      </c>
      <c r="D4" s="11">
        <v>6</v>
      </c>
      <c r="E4" s="11">
        <v>5</v>
      </c>
      <c r="F4" s="57">
        <v>1</v>
      </c>
      <c r="G4" s="58">
        <v>5</v>
      </c>
      <c r="I4" s="65" t="s">
        <v>16</v>
      </c>
      <c r="J4" s="65"/>
      <c r="K4" s="65"/>
    </row>
    <row r="5" spans="2:11" ht="15" thickBot="1" x14ac:dyDescent="0.35">
      <c r="B5" s="36" t="s">
        <v>5</v>
      </c>
      <c r="C5" s="14">
        <v>5</v>
      </c>
      <c r="D5" s="14">
        <v>7</v>
      </c>
      <c r="E5" s="14">
        <v>7</v>
      </c>
      <c r="F5" s="54">
        <v>1</v>
      </c>
      <c r="G5" s="55">
        <v>3</v>
      </c>
    </row>
    <row r="6" spans="2:11" x14ac:dyDescent="0.3">
      <c r="B6" s="56" t="s">
        <v>27</v>
      </c>
      <c r="C6" s="10">
        <v>2</v>
      </c>
      <c r="D6" s="11">
        <v>2</v>
      </c>
      <c r="E6" s="12">
        <v>2</v>
      </c>
    </row>
    <row r="7" spans="2:11" ht="15" thickBot="1" x14ac:dyDescent="0.35">
      <c r="B7" s="36" t="s">
        <v>28</v>
      </c>
      <c r="C7" s="13">
        <v>1</v>
      </c>
      <c r="D7" s="14">
        <v>3</v>
      </c>
      <c r="E7" s="15">
        <v>1</v>
      </c>
    </row>
    <row r="8" spans="2:11" x14ac:dyDescent="0.3">
      <c r="G8" s="4"/>
    </row>
    <row r="9" spans="2:11" x14ac:dyDescent="0.3">
      <c r="D9" s="3"/>
      <c r="E9" s="3"/>
      <c r="G9" s="4"/>
    </row>
    <row r="10" spans="2:11" ht="15" thickBot="1" x14ac:dyDescent="0.35">
      <c r="B10" s="66" t="s">
        <v>7</v>
      </c>
      <c r="C10" s="66"/>
      <c r="D10" s="66"/>
      <c r="E10" s="66"/>
    </row>
    <row r="11" spans="2:11" ht="15" thickBot="1" x14ac:dyDescent="0.35">
      <c r="B11" s="26" t="s">
        <v>0</v>
      </c>
      <c r="C11" s="22" t="s">
        <v>1</v>
      </c>
      <c r="D11" s="22" t="s">
        <v>2</v>
      </c>
      <c r="E11" s="23" t="s">
        <v>3</v>
      </c>
      <c r="F11" s="26" t="s">
        <v>27</v>
      </c>
      <c r="G11" s="23" t="s">
        <v>28</v>
      </c>
    </row>
    <row r="12" spans="2:11" x14ac:dyDescent="0.3">
      <c r="B12" s="27" t="s">
        <v>4</v>
      </c>
      <c r="C12" s="19">
        <v>0</v>
      </c>
      <c r="D12" s="20">
        <v>0</v>
      </c>
      <c r="E12" s="21">
        <v>0</v>
      </c>
      <c r="F12" s="42">
        <v>30</v>
      </c>
      <c r="G12" s="43">
        <v>0</v>
      </c>
    </row>
    <row r="13" spans="2:11" ht="15" thickBot="1" x14ac:dyDescent="0.35">
      <c r="B13" s="27" t="s">
        <v>5</v>
      </c>
      <c r="C13" s="19">
        <v>0</v>
      </c>
      <c r="D13" s="20">
        <v>0</v>
      </c>
      <c r="E13" s="21">
        <v>0</v>
      </c>
      <c r="F13" s="44">
        <v>20</v>
      </c>
      <c r="G13" s="45">
        <v>40</v>
      </c>
    </row>
    <row r="14" spans="2:11" x14ac:dyDescent="0.3">
      <c r="B14" s="35" t="s">
        <v>27</v>
      </c>
      <c r="C14" s="40">
        <v>14.999999999999996</v>
      </c>
      <c r="D14" s="40">
        <v>35</v>
      </c>
      <c r="E14" s="41">
        <v>0</v>
      </c>
    </row>
    <row r="15" spans="2:11" ht="15" thickBot="1" x14ac:dyDescent="0.35">
      <c r="B15" s="36" t="s">
        <v>28</v>
      </c>
      <c r="C15" s="5">
        <v>15</v>
      </c>
      <c r="D15" s="5">
        <v>0</v>
      </c>
      <c r="E15" s="6">
        <v>25</v>
      </c>
    </row>
    <row r="16" spans="2:11" ht="15" thickBot="1" x14ac:dyDescent="0.35">
      <c r="B16" s="36" t="s">
        <v>13</v>
      </c>
      <c r="C16" s="39">
        <v>0</v>
      </c>
      <c r="D16" s="4"/>
      <c r="E16" s="4"/>
    </row>
    <row r="17" spans="2:5" ht="15" thickBot="1" x14ac:dyDescent="0.35">
      <c r="B17" s="1"/>
      <c r="D17" s="4"/>
      <c r="E17" s="4"/>
    </row>
    <row r="18" spans="2:5" ht="15" thickBot="1" x14ac:dyDescent="0.35">
      <c r="B18" s="80" t="s">
        <v>29</v>
      </c>
      <c r="C18" s="81"/>
      <c r="D18" s="31" t="s">
        <v>35</v>
      </c>
      <c r="E18" s="4"/>
    </row>
    <row r="19" spans="2:5" x14ac:dyDescent="0.3">
      <c r="B19" s="35" t="s">
        <v>27</v>
      </c>
      <c r="C19" s="37">
        <v>1</v>
      </c>
      <c r="D19" s="59">
        <v>10</v>
      </c>
      <c r="E19" s="4"/>
    </row>
    <row r="20" spans="2:5" ht="15" thickBot="1" x14ac:dyDescent="0.35">
      <c r="B20" s="36" t="s">
        <v>28</v>
      </c>
      <c r="C20" s="38">
        <v>1</v>
      </c>
      <c r="D20" s="60">
        <v>10</v>
      </c>
      <c r="E20" s="4"/>
    </row>
    <row r="22" spans="2:5" ht="15" thickBot="1" x14ac:dyDescent="0.35">
      <c r="B22" s="66" t="s">
        <v>8</v>
      </c>
      <c r="C22" s="66"/>
      <c r="D22" s="66"/>
      <c r="E22" s="66"/>
    </row>
    <row r="23" spans="2:5" ht="15" thickBot="1" x14ac:dyDescent="0.35">
      <c r="B23" s="1" t="s">
        <v>9</v>
      </c>
      <c r="C23" s="17">
        <f>SUMPRODUCT(C12:E13,C4:E5)+SUMPRODUCT(F12:G13,F4:G5)+SUMPRODUCT(C14:E15,C6:E7)+SUMPRODUCT(C19:C20,D19:D20)</f>
        <v>330</v>
      </c>
    </row>
    <row r="24" spans="2:5" x14ac:dyDescent="0.3">
      <c r="B24" s="2"/>
    </row>
    <row r="25" spans="2:5" x14ac:dyDescent="0.3">
      <c r="B25" s="66" t="s">
        <v>26</v>
      </c>
      <c r="C25" s="66"/>
      <c r="D25" s="66"/>
      <c r="E25" s="66"/>
    </row>
    <row r="26" spans="2:5" ht="15" thickBot="1" x14ac:dyDescent="0.35"/>
    <row r="27" spans="2:5" ht="15" thickBot="1" x14ac:dyDescent="0.35">
      <c r="B27" s="74" t="s">
        <v>11</v>
      </c>
      <c r="C27" s="75"/>
      <c r="D27" s="76"/>
    </row>
    <row r="28" spans="2:5" ht="15" thickBot="1" x14ac:dyDescent="0.35">
      <c r="B28" s="31" t="s">
        <v>24</v>
      </c>
      <c r="C28" s="33" t="s">
        <v>19</v>
      </c>
      <c r="D28" s="31" t="s">
        <v>22</v>
      </c>
    </row>
    <row r="29" spans="2:5" x14ac:dyDescent="0.3">
      <c r="B29" s="27" t="s">
        <v>4</v>
      </c>
      <c r="C29" s="25">
        <f>SUM(C12:G12)</f>
        <v>30</v>
      </c>
      <c r="D29" s="24">
        <v>40</v>
      </c>
    </row>
    <row r="30" spans="2:5" ht="15" thickBot="1" x14ac:dyDescent="0.35">
      <c r="B30" s="28" t="s">
        <v>5</v>
      </c>
      <c r="C30" s="8">
        <f>SUM(C13:G13)</f>
        <v>60</v>
      </c>
      <c r="D30" s="15">
        <v>60</v>
      </c>
    </row>
    <row r="31" spans="2:5" ht="15" thickBot="1" x14ac:dyDescent="0.35">
      <c r="B31" s="7"/>
      <c r="C31" s="4"/>
      <c r="D31" s="3"/>
    </row>
    <row r="32" spans="2:5" ht="15" thickBot="1" x14ac:dyDescent="0.35">
      <c r="B32" s="74" t="s">
        <v>10</v>
      </c>
      <c r="C32" s="75"/>
      <c r="D32" s="75"/>
      <c r="E32" s="76"/>
    </row>
    <row r="33" spans="2:5" ht="15" thickBot="1" x14ac:dyDescent="0.35">
      <c r="B33" s="32" t="s">
        <v>25</v>
      </c>
      <c r="C33" s="22" t="s">
        <v>1</v>
      </c>
      <c r="D33" s="22" t="s">
        <v>2</v>
      </c>
      <c r="E33" s="23" t="s">
        <v>3</v>
      </c>
    </row>
    <row r="34" spans="2:5" x14ac:dyDescent="0.3">
      <c r="B34" s="35" t="s">
        <v>20</v>
      </c>
      <c r="C34" s="18">
        <f>SUM(C12:C15)</f>
        <v>29.999999999999996</v>
      </c>
      <c r="D34" s="18">
        <f>SUM(D12:D15)</f>
        <v>35</v>
      </c>
      <c r="E34" s="30">
        <f>SUM(E12:E15)</f>
        <v>25</v>
      </c>
    </row>
    <row r="35" spans="2:5" ht="15" thickBot="1" x14ac:dyDescent="0.35">
      <c r="B35" s="36" t="s">
        <v>21</v>
      </c>
      <c r="C35" s="14">
        <v>30</v>
      </c>
      <c r="D35" s="14">
        <v>35</v>
      </c>
      <c r="E35" s="15">
        <v>25</v>
      </c>
    </row>
    <row r="36" spans="2:5" ht="22.5" customHeight="1" thickBot="1" x14ac:dyDescent="0.35">
      <c r="B36" s="7"/>
    </row>
    <row r="37" spans="2:5" ht="15" thickBot="1" x14ac:dyDescent="0.35">
      <c r="B37" s="34" t="s">
        <v>17</v>
      </c>
      <c r="C37" s="9">
        <f>7*C16</f>
        <v>0</v>
      </c>
    </row>
    <row r="38" spans="2:5" ht="15" thickBot="1" x14ac:dyDescent="0.35"/>
    <row r="39" spans="2:5" ht="15" thickBot="1" x14ac:dyDescent="0.35">
      <c r="B39" s="74" t="s">
        <v>36</v>
      </c>
      <c r="C39" s="75"/>
      <c r="D39" s="75"/>
      <c r="E39" s="76"/>
    </row>
    <row r="40" spans="2:5" ht="15" thickBot="1" x14ac:dyDescent="0.35">
      <c r="B40" s="31" t="s">
        <v>33</v>
      </c>
      <c r="C40" s="46" t="s">
        <v>34</v>
      </c>
      <c r="D40" s="47" t="s">
        <v>30</v>
      </c>
    </row>
    <row r="41" spans="2:5" x14ac:dyDescent="0.3">
      <c r="B41" s="48" t="s">
        <v>27</v>
      </c>
      <c r="C41" s="51">
        <f>SUM(F12:F13)</f>
        <v>50</v>
      </c>
      <c r="D41" s="52">
        <f>SUM(C14:E14)</f>
        <v>50</v>
      </c>
    </row>
    <row r="42" spans="2:5" ht="15" thickBot="1" x14ac:dyDescent="0.35">
      <c r="B42" s="49" t="s">
        <v>28</v>
      </c>
      <c r="C42" s="53">
        <f>SUM(G12:G13)</f>
        <v>40</v>
      </c>
      <c r="D42" s="50">
        <f>SUM(C15:E15)</f>
        <v>40</v>
      </c>
    </row>
    <row r="43" spans="2:5" ht="15" thickBot="1" x14ac:dyDescent="0.35"/>
    <row r="44" spans="2:5" ht="15" thickBot="1" x14ac:dyDescent="0.35">
      <c r="B44" s="74" t="s">
        <v>31</v>
      </c>
      <c r="C44" s="75"/>
      <c r="D44" s="75"/>
      <c r="E44" s="76"/>
    </row>
    <row r="45" spans="2:5" ht="15" thickBot="1" x14ac:dyDescent="0.35">
      <c r="B45" s="31" t="s">
        <v>33</v>
      </c>
      <c r="C45" s="46" t="s">
        <v>34</v>
      </c>
      <c r="D45" s="47" t="s">
        <v>32</v>
      </c>
    </row>
    <row r="46" spans="2:5" x14ac:dyDescent="0.3">
      <c r="B46" s="48" t="s">
        <v>27</v>
      </c>
      <c r="C46" s="51">
        <f>SUM(F12:F13)</f>
        <v>50</v>
      </c>
      <c r="D46" s="52">
        <f>50*C19</f>
        <v>50</v>
      </c>
    </row>
    <row r="47" spans="2:5" ht="15" thickBot="1" x14ac:dyDescent="0.35">
      <c r="B47" s="49" t="s">
        <v>28</v>
      </c>
      <c r="C47" s="53">
        <f>SUM(G12:G13)</f>
        <v>40</v>
      </c>
      <c r="D47" s="50">
        <f>50*C20</f>
        <v>50</v>
      </c>
    </row>
    <row r="49" spans="2:7" ht="15" thickBot="1" x14ac:dyDescent="0.35"/>
    <row r="50" spans="2:7" ht="15" thickBot="1" x14ac:dyDescent="0.35">
      <c r="B50" s="77" t="s">
        <v>23</v>
      </c>
      <c r="C50" s="78"/>
      <c r="D50" s="78"/>
      <c r="E50" s="79"/>
    </row>
    <row r="51" spans="2:7" ht="15" thickBot="1" x14ac:dyDescent="0.35">
      <c r="B51" s="26" t="s">
        <v>0</v>
      </c>
      <c r="C51" s="22" t="s">
        <v>1</v>
      </c>
      <c r="D51" s="22" t="s">
        <v>2</v>
      </c>
      <c r="E51" s="23" t="s">
        <v>3</v>
      </c>
      <c r="F51" s="26" t="s">
        <v>27</v>
      </c>
      <c r="G51" s="23" t="s">
        <v>28</v>
      </c>
    </row>
    <row r="52" spans="2:7" x14ac:dyDescent="0.3">
      <c r="B52" s="27" t="s">
        <v>4</v>
      </c>
      <c r="C52" s="67" t="s">
        <v>18</v>
      </c>
      <c r="D52" s="68"/>
      <c r="E52" s="69"/>
      <c r="F52" s="67" t="s">
        <v>18</v>
      </c>
      <c r="G52" s="69"/>
    </row>
    <row r="53" spans="2:7" ht="15" thickBot="1" x14ac:dyDescent="0.35">
      <c r="B53" s="28" t="s">
        <v>5</v>
      </c>
      <c r="C53" s="70"/>
      <c r="D53" s="71"/>
      <c r="E53" s="72"/>
      <c r="F53" s="70"/>
      <c r="G53" s="72"/>
    </row>
    <row r="54" spans="2:7" ht="15" thickBot="1" x14ac:dyDescent="0.35">
      <c r="B54" s="16" t="s">
        <v>13</v>
      </c>
      <c r="C54" s="29" t="s">
        <v>12</v>
      </c>
    </row>
    <row r="55" spans="2:7" ht="15" thickBot="1" x14ac:dyDescent="0.35"/>
    <row r="56" spans="2:7" x14ac:dyDescent="0.3">
      <c r="B56" s="35" t="s">
        <v>27</v>
      </c>
      <c r="C56" s="61" t="s">
        <v>37</v>
      </c>
    </row>
    <row r="57" spans="2:7" ht="15" thickBot="1" x14ac:dyDescent="0.35">
      <c r="B57" s="36" t="s">
        <v>28</v>
      </c>
      <c r="C57" s="62"/>
    </row>
  </sheetData>
  <mergeCells count="16">
    <mergeCell ref="C56:C57"/>
    <mergeCell ref="I2:K2"/>
    <mergeCell ref="I3:K3"/>
    <mergeCell ref="I4:K4"/>
    <mergeCell ref="B10:E10"/>
    <mergeCell ref="C52:E53"/>
    <mergeCell ref="B2:E2"/>
    <mergeCell ref="B22:E22"/>
    <mergeCell ref="B27:D27"/>
    <mergeCell ref="B32:E32"/>
    <mergeCell ref="B50:E50"/>
    <mergeCell ref="B25:E25"/>
    <mergeCell ref="B39:E39"/>
    <mergeCell ref="B18:C18"/>
    <mergeCell ref="B44:E44"/>
    <mergeCell ref="F52:G53"/>
  </mergeCells>
  <pageMargins left="0.7" right="0.7" top="0.75" bottom="0.75" header="0.3" footer="0.3"/>
  <ignoredErrors>
    <ignoredError sqref="C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Transporte e Transbordo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2025-05-30T02:08:16Z</dcterms:modified>
</cp:coreProperties>
</file>